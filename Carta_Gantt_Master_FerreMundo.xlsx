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95FD24F-6C30-43CA-B87C-65C2DDAD08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ntt Master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G3" i="1"/>
</calcChain>
</file>

<file path=xl/sharedStrings.xml><?xml version="1.0" encoding="utf-8"?>
<sst xmlns="http://schemas.openxmlformats.org/spreadsheetml/2006/main" count="69" uniqueCount="56">
  <si>
    <t>▶ SEMANA ACTUAL:</t>
  </si>
  <si>
    <t>📈 PROGRESO GLOBAL:</t>
  </si>
  <si>
    <t>ID</t>
  </si>
  <si>
    <t>Tarea / Fase</t>
  </si>
  <si>
    <t>Responsable</t>
  </si>
  <si>
    <t>Inicio</t>
  </si>
  <si>
    <t>Fin</t>
  </si>
  <si>
    <t>Duración</t>
  </si>
  <si>
    <t>% Avance</t>
  </si>
  <si>
    <t>Estado</t>
  </si>
  <si>
    <t>F1</t>
  </si>
  <si>
    <t>FASE 1: Levantamiento y Diseño</t>
  </si>
  <si>
    <t>1.1</t>
  </si>
  <si>
    <t>Definición del alcance e inicio</t>
  </si>
  <si>
    <t>Alan</t>
  </si>
  <si>
    <t>1.2</t>
  </si>
  <si>
    <t>Redacción del Acta de Constitución</t>
  </si>
  <si>
    <t>1.3</t>
  </si>
  <si>
    <t>Especificación de Requisitos (ERS)</t>
  </si>
  <si>
    <t>Alan/Jonatan</t>
  </si>
  <si>
    <t>F2</t>
  </si>
  <si>
    <t>FASE 2: Backend e Infraestructura</t>
  </si>
  <si>
    <t>2.1</t>
  </si>
  <si>
    <t>Modelado de Base de Datos relacional</t>
  </si>
  <si>
    <t>Jonatan</t>
  </si>
  <si>
    <t>2.2</t>
  </si>
  <si>
    <t>Configuración servidor Node.js y DB</t>
  </si>
  <si>
    <t>2.3</t>
  </si>
  <si>
    <t>Desarrollo de API REST (Catálogo)</t>
  </si>
  <si>
    <t>2.4</t>
  </si>
  <si>
    <t>Implementación de Auth y JWT</t>
  </si>
  <si>
    <t>F3</t>
  </si>
  <si>
    <t>FASE 3: Frontend Web</t>
  </si>
  <si>
    <t>3.1</t>
  </si>
  <si>
    <t>Diseño UI/UX y maquetación en Figma</t>
  </si>
  <si>
    <t>3.2</t>
  </si>
  <si>
    <t>Desarrollo vistas de usuario</t>
  </si>
  <si>
    <t>3.3</t>
  </si>
  <si>
    <t>Integración Frontend con API</t>
  </si>
  <si>
    <t>F4</t>
  </si>
  <si>
    <t>FASE 4: Integración y Módulo Admin</t>
  </si>
  <si>
    <t>4.1</t>
  </si>
  <si>
    <t>Desarrollo del módulo Carrito</t>
  </si>
  <si>
    <t>4.2</t>
  </si>
  <si>
    <t>Lógica de Checkout Simulado</t>
  </si>
  <si>
    <t>4.3</t>
  </si>
  <si>
    <t>Portal Administrador (CRUD)</t>
  </si>
  <si>
    <t>F5</t>
  </si>
  <si>
    <t>FASE 5: Cierre y QA</t>
  </si>
  <si>
    <t>5.1</t>
  </si>
  <si>
    <t>Pruebas QA y resolución bugs</t>
  </si>
  <si>
    <t>5.2</t>
  </si>
  <si>
    <t>Despliegue final en la nube</t>
  </si>
  <si>
    <t>5.3</t>
  </si>
  <si>
    <t>Presentación final del proyecto</t>
  </si>
  <si>
    <t>🚀 CARTA GANTT  - PROYECTO FERREMUNDO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</si>
</sst>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&quot;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595959"/>
      <name val="Calibri"/>
    </font>
    <font>
      <b/>
      <sz val="12"/>
      <color rgb="FF1F4E78"/>
      <name val="Calibri"/>
    </font>
    <font>
      <b/>
      <sz val="16"/>
      <color rgb="FFC00000"/>
      <name val="Calibri"/>
    </font>
    <font>
      <b/>
      <sz val="16"/>
      <color rgb="FF0070C0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8EA9DB"/>
          <bgColor rgb="FF8EA9DB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595959"/>
          <bgColor rgb="FF595959"/>
        </patternFill>
      </fill>
    </dxf>
    <dxf>
      <fill>
        <patternFill patternType="solid">
          <fgColor rgb="FFFFE699"/>
          <bgColor rgb="FFFFE699"/>
        </patternFill>
      </fill>
    </dxf>
    <dxf>
      <font>
        <color rgb="FF7F7F7F"/>
      </font>
    </dxf>
    <dxf>
      <font>
        <b/>
        <color rgb="FFC00000"/>
      </font>
      <fill>
        <patternFill patternType="solid">
          <fgColor rgb="FFFCE4D4"/>
          <bgColor rgb="FFFCE4D4"/>
        </patternFill>
      </fill>
    </dxf>
    <dxf>
      <font>
        <b/>
        <color rgb="FF9C57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showGridLines="0" tabSelected="1" workbookViewId="0">
      <pane xSplit="8" ySplit="5" topLeftCell="I6" activePane="bottomRight" state="frozen"/>
      <selection pane="topRight"/>
      <selection pane="bottomLeft"/>
      <selection pane="bottomRight" activeCell="I28" sqref="I28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15" customWidth="1"/>
    <col min="4" max="5" width="8" customWidth="1"/>
    <col min="6" max="6" width="10" customWidth="1"/>
    <col min="7" max="7" width="12" customWidth="1"/>
    <col min="8" max="8" width="14" customWidth="1"/>
    <col min="9" max="26" width="4.44140625" customWidth="1"/>
  </cols>
  <sheetData>
    <row r="1" spans="1:26" ht="23.4" x14ac:dyDescent="0.3">
      <c r="A1" s="13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x14ac:dyDescent="0.3">
      <c r="B3" s="1" t="s">
        <v>0</v>
      </c>
      <c r="C3" s="2">
        <v>4</v>
      </c>
      <c r="F3" s="1" t="s">
        <v>1</v>
      </c>
      <c r="G3" s="3">
        <f>AVERAGEIF(G6:G30, "&gt;=0", G6:G30)</f>
        <v>0.17812500000000001</v>
      </c>
    </row>
    <row r="5" spans="1:26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5">
        <v>1</v>
      </c>
      <c r="J5" s="5">
        <v>2</v>
      </c>
      <c r="K5" s="5">
        <v>3</v>
      </c>
      <c r="L5" s="5">
        <v>4</v>
      </c>
      <c r="M5" s="5">
        <v>5</v>
      </c>
      <c r="N5" s="5">
        <v>6</v>
      </c>
      <c r="O5" s="5">
        <v>7</v>
      </c>
      <c r="P5" s="5">
        <v>8</v>
      </c>
      <c r="Q5" s="5">
        <v>9</v>
      </c>
      <c r="R5" s="5">
        <v>10</v>
      </c>
      <c r="S5" s="5">
        <v>11</v>
      </c>
      <c r="T5" s="5">
        <v>12</v>
      </c>
      <c r="U5" s="5">
        <v>13</v>
      </c>
      <c r="V5" s="5">
        <v>14</v>
      </c>
      <c r="W5" s="5">
        <v>15</v>
      </c>
      <c r="X5" s="5">
        <v>16</v>
      </c>
      <c r="Y5" s="5">
        <v>17</v>
      </c>
      <c r="Z5" s="5">
        <v>18</v>
      </c>
    </row>
    <row r="6" spans="1:26" x14ac:dyDescent="0.3">
      <c r="A6" s="6" t="s">
        <v>10</v>
      </c>
      <c r="B6" s="7" t="s">
        <v>11</v>
      </c>
      <c r="C6" s="6"/>
      <c r="D6" s="6">
        <v>1</v>
      </c>
      <c r="E6" s="6">
        <v>4</v>
      </c>
      <c r="F6" s="6">
        <f t="shared" ref="F6:F26" si="0">E6-D6+1</f>
        <v>4</v>
      </c>
      <c r="G6" s="6"/>
      <c r="H6" s="6" t="str">
        <f t="shared" ref="H6:H26" si="1">IF(ISBLANK(G6), "FASE", IF(G6=1, "Completado", IF(AND(E6&lt;$C$3, G6&lt;1), "Atrasado", IF(G6&gt;0, "En Curso", "Pendiente"))))</f>
        <v>FASE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9" t="s">
        <v>12</v>
      </c>
      <c r="B7" s="10" t="s">
        <v>13</v>
      </c>
      <c r="C7" s="9" t="s">
        <v>14</v>
      </c>
      <c r="D7" s="11">
        <v>1</v>
      </c>
      <c r="E7" s="11">
        <v>2</v>
      </c>
      <c r="F7" s="9">
        <f t="shared" si="0"/>
        <v>2</v>
      </c>
      <c r="G7" s="12">
        <v>1</v>
      </c>
      <c r="H7" s="9" t="str">
        <f t="shared" si="1"/>
        <v>Completado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9" t="s">
        <v>15</v>
      </c>
      <c r="B8" s="10" t="s">
        <v>16</v>
      </c>
      <c r="C8" s="9" t="s">
        <v>14</v>
      </c>
      <c r="D8" s="11">
        <v>2</v>
      </c>
      <c r="E8" s="11">
        <v>3</v>
      </c>
      <c r="F8" s="9">
        <f t="shared" si="0"/>
        <v>2</v>
      </c>
      <c r="G8" s="12">
        <v>1</v>
      </c>
      <c r="H8" s="9" t="str">
        <f t="shared" si="1"/>
        <v>Completado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9" t="s">
        <v>17</v>
      </c>
      <c r="B9" s="10" t="s">
        <v>18</v>
      </c>
      <c r="C9" s="9" t="s">
        <v>19</v>
      </c>
      <c r="D9" s="11">
        <v>3</v>
      </c>
      <c r="E9" s="11">
        <v>4</v>
      </c>
      <c r="F9" s="9">
        <f t="shared" si="0"/>
        <v>2</v>
      </c>
      <c r="G9" s="12">
        <v>0.85</v>
      </c>
      <c r="H9" s="9" t="str">
        <f t="shared" si="1"/>
        <v>En Curso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6" t="s">
        <v>20</v>
      </c>
      <c r="B10" s="7" t="s">
        <v>21</v>
      </c>
      <c r="C10" s="6"/>
      <c r="D10" s="6">
        <v>5</v>
      </c>
      <c r="E10" s="6">
        <v>8</v>
      </c>
      <c r="F10" s="6">
        <f t="shared" si="0"/>
        <v>4</v>
      </c>
      <c r="G10" s="6"/>
      <c r="H10" s="6" t="str">
        <f t="shared" si="1"/>
        <v>FASE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9" t="s">
        <v>22</v>
      </c>
      <c r="B11" s="10" t="s">
        <v>23</v>
      </c>
      <c r="C11" s="9" t="s">
        <v>24</v>
      </c>
      <c r="D11" s="11">
        <v>5</v>
      </c>
      <c r="E11" s="11">
        <v>5</v>
      </c>
      <c r="F11" s="9">
        <f t="shared" si="0"/>
        <v>1</v>
      </c>
      <c r="G11" s="12">
        <v>0</v>
      </c>
      <c r="H11" s="9" t="str">
        <f t="shared" si="1"/>
        <v>Pendiente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9" t="s">
        <v>25</v>
      </c>
      <c r="B12" s="10" t="s">
        <v>26</v>
      </c>
      <c r="C12" s="9" t="s">
        <v>24</v>
      </c>
      <c r="D12" s="11">
        <v>5</v>
      </c>
      <c r="E12" s="11">
        <v>6</v>
      </c>
      <c r="F12" s="9">
        <f t="shared" si="0"/>
        <v>2</v>
      </c>
      <c r="G12" s="12">
        <v>0</v>
      </c>
      <c r="H12" s="9" t="str">
        <f t="shared" si="1"/>
        <v>Pendiente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9" t="s">
        <v>27</v>
      </c>
      <c r="B13" s="10" t="s">
        <v>28</v>
      </c>
      <c r="C13" s="9" t="s">
        <v>24</v>
      </c>
      <c r="D13" s="11">
        <v>6</v>
      </c>
      <c r="E13" s="11">
        <v>7</v>
      </c>
      <c r="F13" s="9">
        <f t="shared" si="0"/>
        <v>2</v>
      </c>
      <c r="G13" s="12">
        <v>0</v>
      </c>
      <c r="H13" s="9" t="str">
        <f t="shared" si="1"/>
        <v>Pendiente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9" t="s">
        <v>29</v>
      </c>
      <c r="B14" s="10" t="s">
        <v>30</v>
      </c>
      <c r="C14" s="9" t="s">
        <v>24</v>
      </c>
      <c r="D14" s="11">
        <v>7</v>
      </c>
      <c r="E14" s="11">
        <v>8</v>
      </c>
      <c r="F14" s="9">
        <f t="shared" si="0"/>
        <v>2</v>
      </c>
      <c r="G14" s="12">
        <v>0</v>
      </c>
      <c r="H14" s="9" t="str">
        <f t="shared" si="1"/>
        <v>Pendiente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6" t="s">
        <v>31</v>
      </c>
      <c r="B15" s="7" t="s">
        <v>32</v>
      </c>
      <c r="C15" s="6"/>
      <c r="D15" s="6">
        <v>9</v>
      </c>
      <c r="E15" s="6">
        <v>13</v>
      </c>
      <c r="F15" s="6">
        <f t="shared" si="0"/>
        <v>5</v>
      </c>
      <c r="G15" s="6"/>
      <c r="H15" s="6" t="str">
        <f t="shared" si="1"/>
        <v>FASE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9" t="s">
        <v>33</v>
      </c>
      <c r="B16" s="10" t="s">
        <v>34</v>
      </c>
      <c r="C16" s="9" t="s">
        <v>14</v>
      </c>
      <c r="D16" s="11">
        <v>9</v>
      </c>
      <c r="E16" s="11">
        <v>9</v>
      </c>
      <c r="F16" s="9">
        <f t="shared" si="0"/>
        <v>1</v>
      </c>
      <c r="G16" s="12">
        <v>0</v>
      </c>
      <c r="H16" s="9" t="str">
        <f t="shared" si="1"/>
        <v>Pendiente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9" t="s">
        <v>35</v>
      </c>
      <c r="B17" s="10" t="s">
        <v>36</v>
      </c>
      <c r="C17" s="9" t="s">
        <v>14</v>
      </c>
      <c r="D17" s="11">
        <v>10</v>
      </c>
      <c r="E17" s="11">
        <v>11</v>
      </c>
      <c r="F17" s="9">
        <f t="shared" si="0"/>
        <v>2</v>
      </c>
      <c r="G17" s="12">
        <v>0</v>
      </c>
      <c r="H17" s="9" t="str">
        <f t="shared" si="1"/>
        <v>Pendiente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9" t="s">
        <v>37</v>
      </c>
      <c r="B18" s="10" t="s">
        <v>38</v>
      </c>
      <c r="C18" s="9" t="s">
        <v>19</v>
      </c>
      <c r="D18" s="11">
        <v>12</v>
      </c>
      <c r="E18" s="11">
        <v>13</v>
      </c>
      <c r="F18" s="9">
        <f t="shared" si="0"/>
        <v>2</v>
      </c>
      <c r="G18" s="12">
        <v>0</v>
      </c>
      <c r="H18" s="9" t="str">
        <f t="shared" si="1"/>
        <v>Pendiente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6" t="s">
        <v>39</v>
      </c>
      <c r="B19" s="7" t="s">
        <v>40</v>
      </c>
      <c r="C19" s="6"/>
      <c r="D19" s="6">
        <v>14</v>
      </c>
      <c r="E19" s="6">
        <v>16</v>
      </c>
      <c r="F19" s="6">
        <f t="shared" si="0"/>
        <v>3</v>
      </c>
      <c r="G19" s="6"/>
      <c r="H19" s="6" t="str">
        <f t="shared" si="1"/>
        <v>FASE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9" t="s">
        <v>41</v>
      </c>
      <c r="B20" s="10" t="s">
        <v>42</v>
      </c>
      <c r="C20" s="9" t="s">
        <v>24</v>
      </c>
      <c r="D20" s="11">
        <v>14</v>
      </c>
      <c r="E20" s="11">
        <v>14</v>
      </c>
      <c r="F20" s="9">
        <f t="shared" si="0"/>
        <v>1</v>
      </c>
      <c r="G20" s="12">
        <v>0</v>
      </c>
      <c r="H20" s="9" t="str">
        <f t="shared" si="1"/>
        <v>Pendiente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9" t="s">
        <v>43</v>
      </c>
      <c r="B21" s="10" t="s">
        <v>44</v>
      </c>
      <c r="C21" s="9" t="s">
        <v>24</v>
      </c>
      <c r="D21" s="11">
        <v>15</v>
      </c>
      <c r="E21" s="11">
        <v>15</v>
      </c>
      <c r="F21" s="9">
        <f t="shared" si="0"/>
        <v>1</v>
      </c>
      <c r="G21" s="12">
        <v>0</v>
      </c>
      <c r="H21" s="9" t="str">
        <f t="shared" si="1"/>
        <v>Pendiente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9" t="s">
        <v>45</v>
      </c>
      <c r="B22" s="10" t="s">
        <v>46</v>
      </c>
      <c r="C22" s="9" t="s">
        <v>19</v>
      </c>
      <c r="D22" s="11">
        <v>16</v>
      </c>
      <c r="E22" s="11">
        <v>16</v>
      </c>
      <c r="F22" s="9">
        <f t="shared" si="0"/>
        <v>1</v>
      </c>
      <c r="G22" s="12">
        <v>0</v>
      </c>
      <c r="H22" s="9" t="str">
        <f t="shared" si="1"/>
        <v>Pendiente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6" t="s">
        <v>47</v>
      </c>
      <c r="B23" s="7" t="s">
        <v>48</v>
      </c>
      <c r="C23" s="6"/>
      <c r="D23" s="6">
        <v>17</v>
      </c>
      <c r="E23" s="6">
        <v>18</v>
      </c>
      <c r="F23" s="6">
        <f t="shared" si="0"/>
        <v>2</v>
      </c>
      <c r="G23" s="6"/>
      <c r="H23" s="6" t="str">
        <f t="shared" si="1"/>
        <v>FASE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9" t="s">
        <v>49</v>
      </c>
      <c r="B24" s="10" t="s">
        <v>50</v>
      </c>
      <c r="C24" s="9" t="s">
        <v>24</v>
      </c>
      <c r="D24" s="11">
        <v>17</v>
      </c>
      <c r="E24" s="11">
        <v>17</v>
      </c>
      <c r="F24" s="9">
        <f t="shared" si="0"/>
        <v>1</v>
      </c>
      <c r="G24" s="12">
        <v>0</v>
      </c>
      <c r="H24" s="9" t="str">
        <f t="shared" si="1"/>
        <v>Pendiente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9" t="s">
        <v>51</v>
      </c>
      <c r="B25" s="10" t="s">
        <v>52</v>
      </c>
      <c r="C25" s="9" t="s">
        <v>24</v>
      </c>
      <c r="D25" s="11">
        <v>17</v>
      </c>
      <c r="E25" s="11">
        <v>18</v>
      </c>
      <c r="F25" s="9">
        <f t="shared" si="0"/>
        <v>2</v>
      </c>
      <c r="G25" s="12">
        <v>0</v>
      </c>
      <c r="H25" s="9" t="str">
        <f t="shared" si="1"/>
        <v>Pendiente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9" t="s">
        <v>53</v>
      </c>
      <c r="B26" s="10" t="s">
        <v>54</v>
      </c>
      <c r="C26" s="9" t="s">
        <v>19</v>
      </c>
      <c r="D26" s="11">
        <v>18</v>
      </c>
      <c r="E26" s="11">
        <v>18</v>
      </c>
      <c r="F26" s="9">
        <f t="shared" si="0"/>
        <v>1</v>
      </c>
      <c r="G26" s="12">
        <v>0</v>
      </c>
      <c r="H26" s="9" t="str">
        <f t="shared" si="1"/>
        <v>Pendiente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</sheetData>
  <mergeCells count="2">
    <mergeCell ref="A1:Z1"/>
    <mergeCell ref="A2:Z2"/>
  </mergeCells>
  <conditionalFormatting sqref="H6:H26">
    <cfRule type="cellIs" dxfId="9" priority="1" operator="equal">
      <formula>"Completado"</formula>
    </cfRule>
    <cfRule type="cellIs" dxfId="8" priority="2" operator="equal">
      <formula>"En Curso"</formula>
    </cfRule>
    <cfRule type="cellIs" dxfId="7" priority="3" operator="equal">
      <formula>"Atrasado"</formula>
    </cfRule>
    <cfRule type="cellIs" dxfId="6" priority="4" operator="equal">
      <formula>"Pendiente"</formula>
    </cfRule>
  </conditionalFormatting>
  <conditionalFormatting sqref="G6:G26">
    <cfRule type="dataBar" priority="5">
      <dataBar>
        <cfvo type="num" val="0"/>
        <cfvo type="num" val="1"/>
        <color rgb="FF5B9BD5"/>
      </dataBar>
    </cfRule>
  </conditionalFormatting>
  <conditionalFormatting sqref="I6:Z26">
    <cfRule type="expression" dxfId="5" priority="6">
      <formula>I$5=$C$3</formula>
    </cfRule>
    <cfRule type="expression" dxfId="4" priority="7">
      <formula>AND(I$5&gt;=$D6, I$5&lt;=$E6, ISBLANK($G6))</formula>
    </cfRule>
    <cfRule type="expression" dxfId="3" priority="8">
      <formula>AND(I$5&gt;=$D6, I$5&lt;=$E6, NOT(ISBLANK($G6)), (I$5-$D6+1)&lt;=ROUND(($E6-$D6+1)*$G6, 0))</formula>
    </cfRule>
    <cfRule type="expression" dxfId="2" priority="9">
      <formula>AND(I$5&gt;=$D6, I$5&lt;=$E6, NOT(ISBLANK($G6)), I$5&lt;$C$3, (I$5-$D6+1)&gt;ROUND(($E6-$D6+1)*$G6, 0))</formula>
    </cfRule>
    <cfRule type="expression" dxfId="1" priority="10">
      <formula>AND(I$5&gt;=$D6, I$5&lt;=$E6, NOT(ISBLANK($G6)), $G6&gt;0, (I$5-$D6+1)&gt;ROUND(($E6-$D6+1)*$G6, 0))</formula>
    </cfRule>
    <cfRule type="expression" dxfId="0" priority="11">
      <formula>AND(I$5&gt;=$D6, I$5&lt;=$E6, NOT(ISBLANK($G6)), $G6=0)</formula>
    </cfRule>
  </conditionalFormatting>
  <dataValidations count="2">
    <dataValidation type="whole" showErrorMessage="1" errorTitle="Semana Inválida" error="Ingresa una semana entre 1 y 18." sqref="C3" xr:uid="{00000000-0002-0000-0000-000000000000}">
      <formula1>1</formula1>
      <formula2>18</formula2>
    </dataValidation>
    <dataValidation type="decimal" showErrorMessage="1" error="Ingresa un valor entre 0 y 1 (Ej: 0.5 para 50%)" sqref="G6:G26" xr:uid="{00000000-0002-0000-0000-000001000000}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Master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. CRUZ</cp:lastModifiedBy>
  <dcterms:created xsi:type="dcterms:W3CDTF">2026-09-02T02:13:48Z</dcterms:created>
  <dcterms:modified xsi:type="dcterms:W3CDTF">2026-09-02T02:21:21Z</dcterms:modified>
</cp:coreProperties>
</file>